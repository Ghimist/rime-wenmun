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Desktop/"/>
    </mc:Choice>
  </mc:AlternateContent>
  <xr:revisionPtr revIDLastSave="2" documentId="8_{048C9430-6C3D-4784-BC71-D5A439B06727}" xr6:coauthVersionLast="47" xr6:coauthVersionMax="47" xr10:uidLastSave="{C75C9EBE-9F6D-4D17-97A0-8370F1201848}"/>
  <bookViews>
    <workbookView xWindow="-108" yWindow="-108" windowWidth="23256" windowHeight="12576" xr2:uid="{4DA8CB29-2628-4AEB-BFA0-5E92F668BFEF}"/>
  </bookViews>
  <sheets>
    <sheet name="工作表1" sheetId="1" r:id="rId1"/>
  </sheets>
  <definedNames>
    <definedName name="_xlnm._FilterDatabase" localSheetId="0" hidden="1">工作表1!$A$1:$H$96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5" i="1" l="1"/>
  <c r="H93" i="1"/>
  <c r="H66" i="1"/>
  <c r="H63" i="1"/>
  <c r="H61" i="1"/>
  <c r="H33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1" i="1"/>
  <c r="H10" i="1"/>
  <c r="H9" i="1"/>
  <c r="H4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4" i="1"/>
  <c r="G5" i="1"/>
  <c r="G6" i="1"/>
  <c r="G7" i="1"/>
  <c r="G8" i="1"/>
  <c r="G9" i="1"/>
  <c r="G10" i="1"/>
  <c r="G11" i="1"/>
  <c r="G12" i="1"/>
  <c r="G3" i="1"/>
  <c r="H12" i="1"/>
  <c r="H13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2" i="1"/>
  <c r="H64" i="1"/>
  <c r="H65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4" i="1"/>
  <c r="H96" i="1"/>
  <c r="H3" i="1"/>
  <c r="H5" i="1"/>
  <c r="H6" i="1"/>
  <c r="H7" i="1"/>
  <c r="H8" i="1"/>
  <c r="G2" i="1"/>
  <c r="F2" i="1"/>
  <c r="B2" i="1"/>
  <c r="B3" i="1" s="1"/>
  <c r="C3" i="1" l="1"/>
  <c r="B4" i="1"/>
  <c r="A3" i="1"/>
  <c r="A2" i="1"/>
  <c r="C2" i="1"/>
  <c r="H2" i="1" s="1"/>
  <c r="B5" i="1" l="1"/>
  <c r="C4" i="1"/>
  <c r="A4" i="1"/>
  <c r="B6" i="1" l="1"/>
  <c r="C5" i="1"/>
  <c r="A5" i="1"/>
  <c r="A6" i="1" l="1"/>
  <c r="B7" i="1"/>
  <c r="C6" i="1"/>
  <c r="B8" i="1" l="1"/>
  <c r="A7" i="1"/>
  <c r="C7" i="1"/>
  <c r="B9" i="1" l="1"/>
  <c r="A8" i="1"/>
  <c r="C8" i="1"/>
  <c r="B10" i="1" l="1"/>
  <c r="A9" i="1"/>
  <c r="C9" i="1"/>
  <c r="B11" i="1" l="1"/>
  <c r="C10" i="1"/>
  <c r="A10" i="1"/>
  <c r="B12" i="1" l="1"/>
  <c r="A11" i="1"/>
  <c r="C11" i="1"/>
  <c r="B13" i="1" l="1"/>
  <c r="C12" i="1"/>
  <c r="A12" i="1"/>
  <c r="B14" i="1" l="1"/>
  <c r="C13" i="1"/>
  <c r="A13" i="1"/>
  <c r="B15" i="1" l="1"/>
  <c r="A14" i="1"/>
  <c r="C14" i="1"/>
  <c r="B16" i="1" l="1"/>
  <c r="A15" i="1"/>
  <c r="C15" i="1"/>
  <c r="B17" i="1" l="1"/>
  <c r="C16" i="1"/>
  <c r="A16" i="1"/>
  <c r="B18" i="1" l="1"/>
  <c r="C17" i="1"/>
  <c r="A17" i="1"/>
  <c r="B19" i="1" l="1"/>
  <c r="C18" i="1"/>
  <c r="A18" i="1"/>
  <c r="B20" i="1" l="1"/>
  <c r="A19" i="1"/>
  <c r="C19" i="1"/>
  <c r="B21" i="1" l="1"/>
  <c r="C20" i="1"/>
  <c r="A20" i="1"/>
  <c r="B22" i="1" l="1"/>
  <c r="A21" i="1"/>
  <c r="C21" i="1"/>
  <c r="C22" i="1" l="1"/>
  <c r="B23" i="1"/>
  <c r="A22" i="1"/>
  <c r="C23" i="1" l="1"/>
  <c r="A23" i="1"/>
  <c r="B24" i="1"/>
  <c r="C24" i="1" l="1"/>
  <c r="B25" i="1"/>
  <c r="A24" i="1"/>
  <c r="C25" i="1" l="1"/>
  <c r="A25" i="1"/>
  <c r="B26" i="1"/>
  <c r="C26" i="1" l="1"/>
  <c r="A26" i="1"/>
  <c r="B27" i="1"/>
  <c r="C27" i="1" l="1"/>
  <c r="A27" i="1"/>
  <c r="B28" i="1"/>
  <c r="C28" i="1" l="1"/>
  <c r="B29" i="1"/>
  <c r="A28" i="1"/>
  <c r="A29" i="1" l="1"/>
  <c r="B30" i="1"/>
  <c r="C29" i="1"/>
  <c r="B31" i="1" l="1"/>
  <c r="C30" i="1"/>
  <c r="A30" i="1"/>
  <c r="C31" i="1" l="1"/>
  <c r="B32" i="1"/>
  <c r="A31" i="1"/>
  <c r="C32" i="1" l="1"/>
  <c r="B33" i="1"/>
  <c r="A32" i="1"/>
  <c r="C33" i="1" l="1"/>
  <c r="B34" i="1"/>
  <c r="A33" i="1"/>
  <c r="C34" i="1" l="1"/>
  <c r="A34" i="1"/>
  <c r="B35" i="1"/>
  <c r="C35" i="1" l="1"/>
  <c r="A35" i="1"/>
  <c r="B36" i="1"/>
  <c r="C36" i="1" l="1"/>
  <c r="B37" i="1"/>
  <c r="A36" i="1"/>
  <c r="C37" i="1" l="1"/>
  <c r="B38" i="1"/>
  <c r="A37" i="1"/>
  <c r="C38" i="1" l="1"/>
  <c r="B39" i="1"/>
  <c r="A38" i="1"/>
  <c r="C39" i="1" l="1"/>
  <c r="A39" i="1"/>
  <c r="B40" i="1"/>
  <c r="C40" i="1" l="1"/>
  <c r="B41" i="1"/>
  <c r="A40" i="1"/>
  <c r="C41" i="1" l="1"/>
  <c r="A41" i="1"/>
  <c r="B42" i="1"/>
  <c r="C42" i="1" l="1"/>
  <c r="A42" i="1"/>
  <c r="B43" i="1"/>
  <c r="C43" i="1" l="1"/>
  <c r="A43" i="1"/>
  <c r="B44" i="1"/>
  <c r="C44" i="1" l="1"/>
  <c r="A44" i="1"/>
  <c r="B45" i="1"/>
  <c r="C45" i="1" l="1"/>
  <c r="B46" i="1"/>
  <c r="A45" i="1"/>
  <c r="C46" i="1" l="1"/>
  <c r="A46" i="1"/>
  <c r="B47" i="1"/>
  <c r="C47" i="1" l="1"/>
  <c r="A47" i="1"/>
  <c r="B48" i="1"/>
  <c r="C48" i="1" l="1"/>
  <c r="A48" i="1"/>
  <c r="B49" i="1"/>
  <c r="C49" i="1" l="1"/>
  <c r="B50" i="1"/>
  <c r="A49" i="1"/>
  <c r="C50" i="1" l="1"/>
  <c r="A50" i="1"/>
  <c r="B51" i="1"/>
  <c r="C51" i="1" l="1"/>
  <c r="A51" i="1"/>
  <c r="B52" i="1"/>
  <c r="C52" i="1" l="1"/>
  <c r="B53" i="1"/>
  <c r="A52" i="1"/>
  <c r="C53" i="1" l="1"/>
  <c r="B54" i="1"/>
  <c r="A53" i="1"/>
  <c r="C54" i="1" l="1"/>
  <c r="A54" i="1"/>
  <c r="B55" i="1"/>
  <c r="C55" i="1" l="1"/>
  <c r="B56" i="1"/>
  <c r="A55" i="1"/>
  <c r="C56" i="1" l="1"/>
  <c r="B57" i="1"/>
  <c r="A56" i="1"/>
  <c r="C57" i="1" l="1"/>
  <c r="B58" i="1"/>
  <c r="A57" i="1"/>
  <c r="C58" i="1" l="1"/>
  <c r="B59" i="1"/>
  <c r="A58" i="1"/>
  <c r="C59" i="1" l="1"/>
  <c r="A59" i="1"/>
  <c r="B60" i="1"/>
  <c r="C60" i="1" l="1"/>
  <c r="A60" i="1"/>
  <c r="B61" i="1"/>
  <c r="C61" i="1" l="1"/>
  <c r="B62" i="1"/>
  <c r="A61" i="1"/>
  <c r="C62" i="1" l="1"/>
  <c r="A62" i="1"/>
  <c r="B63" i="1"/>
  <c r="C63" i="1" l="1"/>
  <c r="A63" i="1"/>
  <c r="B64" i="1"/>
  <c r="C64" i="1" l="1"/>
  <c r="A64" i="1"/>
  <c r="B65" i="1"/>
  <c r="C65" i="1" l="1"/>
  <c r="B66" i="1"/>
  <c r="A65" i="1"/>
  <c r="C66" i="1" l="1"/>
  <c r="A66" i="1"/>
  <c r="B67" i="1"/>
  <c r="C67" i="1" l="1"/>
  <c r="A67" i="1"/>
  <c r="B68" i="1"/>
  <c r="C68" i="1" l="1"/>
  <c r="B69" i="1"/>
  <c r="A68" i="1"/>
  <c r="C69" i="1" l="1"/>
  <c r="A69" i="1"/>
  <c r="B70" i="1"/>
  <c r="C70" i="1" l="1"/>
  <c r="B71" i="1"/>
  <c r="A70" i="1"/>
  <c r="C71" i="1" l="1"/>
  <c r="A71" i="1"/>
  <c r="B72" i="1"/>
  <c r="C72" i="1" l="1"/>
  <c r="A72" i="1"/>
  <c r="B73" i="1"/>
  <c r="C73" i="1" l="1"/>
  <c r="A73" i="1"/>
  <c r="B74" i="1"/>
  <c r="C74" i="1" l="1"/>
  <c r="A74" i="1"/>
  <c r="B75" i="1"/>
  <c r="C75" i="1" l="1"/>
  <c r="A75" i="1"/>
  <c r="B76" i="1"/>
  <c r="C76" i="1" l="1"/>
  <c r="A76" i="1"/>
  <c r="B77" i="1"/>
  <c r="C77" i="1" l="1"/>
  <c r="B78" i="1"/>
  <c r="A77" i="1"/>
  <c r="C78" i="1" l="1"/>
  <c r="B79" i="1"/>
  <c r="A78" i="1"/>
  <c r="C79" i="1" l="1"/>
  <c r="B80" i="1"/>
  <c r="A79" i="1"/>
  <c r="C80" i="1" l="1"/>
  <c r="B81" i="1"/>
  <c r="A80" i="1"/>
  <c r="C81" i="1" l="1"/>
  <c r="B82" i="1"/>
  <c r="A81" i="1"/>
  <c r="C82" i="1" l="1"/>
  <c r="B83" i="1"/>
  <c r="A82" i="1"/>
  <c r="C83" i="1" l="1"/>
  <c r="A83" i="1"/>
  <c r="B84" i="1"/>
  <c r="C84" i="1" l="1"/>
  <c r="B85" i="1"/>
  <c r="A84" i="1"/>
  <c r="C85" i="1" l="1"/>
  <c r="B86" i="1"/>
  <c r="A85" i="1"/>
  <c r="C86" i="1" l="1"/>
  <c r="B87" i="1"/>
  <c r="A86" i="1"/>
  <c r="C87" i="1" l="1"/>
  <c r="A87" i="1"/>
  <c r="B88" i="1"/>
  <c r="C88" i="1" l="1"/>
  <c r="A88" i="1"/>
  <c r="B89" i="1"/>
  <c r="C89" i="1" l="1"/>
  <c r="B90" i="1"/>
  <c r="A89" i="1"/>
  <c r="C90" i="1" l="1"/>
  <c r="B91" i="1"/>
  <c r="A90" i="1"/>
  <c r="C91" i="1" l="1"/>
  <c r="A91" i="1"/>
  <c r="B92" i="1"/>
  <c r="C92" i="1" l="1"/>
  <c r="A92" i="1"/>
  <c r="B93" i="1"/>
  <c r="C93" i="1" l="1"/>
  <c r="B94" i="1"/>
  <c r="A93" i="1"/>
  <c r="C94" i="1" l="1"/>
  <c r="B95" i="1"/>
  <c r="A94" i="1"/>
  <c r="C95" i="1" l="1"/>
  <c r="A95" i="1"/>
  <c r="B96" i="1"/>
  <c r="C96" i="1" l="1"/>
  <c r="A96" i="1"/>
</calcChain>
</file>

<file path=xl/sharedStrings.xml><?xml version="1.0" encoding="utf-8"?>
<sst xmlns="http://schemas.openxmlformats.org/spreadsheetml/2006/main" count="104" uniqueCount="30">
  <si>
    <t>數</t>
    <phoneticPr fontId="1" type="noConversion"/>
  </si>
  <si>
    <t>數上</t>
    <phoneticPr fontId="1" type="noConversion"/>
  </si>
  <si>
    <t>大</t>
    <phoneticPr fontId="1" type="noConversion"/>
  </si>
  <si>
    <t>小</t>
    <phoneticPr fontId="1" type="noConversion"/>
  </si>
  <si>
    <t>。</t>
    <phoneticPr fontId="1" type="noConversion"/>
  </si>
  <si>
    <t>、</t>
    <phoneticPr fontId="1" type="noConversion"/>
  </si>
  <si>
    <t>，</t>
    <phoneticPr fontId="1" type="noConversion"/>
  </si>
  <si>
    <t>——</t>
    <phoneticPr fontId="1" type="noConversion"/>
  </si>
  <si>
    <t>：</t>
    <phoneticPr fontId="1" type="noConversion"/>
  </si>
  <si>
    <t>；</t>
    <phoneticPr fontId="1" type="noConversion"/>
  </si>
  <si>
    <t>？</t>
    <phoneticPr fontId="1" type="noConversion"/>
  </si>
  <si>
    <t>【</t>
    <phoneticPr fontId="1" type="noConversion"/>
  </si>
  <si>
    <t>】</t>
    <phoneticPr fontId="1" type="noConversion"/>
  </si>
  <si>
    <t>〖</t>
    <phoneticPr fontId="1" type="noConversion"/>
  </si>
  <si>
    <t>〗</t>
    <phoneticPr fontId="1" type="noConversion"/>
  </si>
  <si>
    <t>（</t>
    <phoneticPr fontId="1" type="noConversion"/>
  </si>
  <si>
    <t>）</t>
    <phoneticPr fontId="1" type="noConversion"/>
  </si>
  <si>
    <t>・</t>
  </si>
  <si>
    <t>[ 「, 」]</t>
    <phoneticPr fontId="1" type="noConversion"/>
  </si>
  <si>
    <t>[ 『, 』 ]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</si>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</sst>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6EFD-55DF-4A6F-9EFE-C50F9DB5F71E}">
  <sheetPr filterMode="1"/>
  <dimension ref="A2:H96"/>
  <sheetViews>
    <sheetView tabSelected="1" workbookViewId="0">
      <selection activeCell="H4" sqref="H4:H95"/>
    </sheetView>
  </sheetViews>
  <sheetFormatPr defaultRowHeight="16.2"/>
  <cols>
    <col min="7" max="7" width="9.6640625" bestFit="1" customWidth="1"/>
  </cols>
  <sheetData>
    <row r="2" spans="1:8">
      <c r="A2" t="str">
        <f>"0x"&amp;DEC2HEX($B2)</f>
        <v>0x20</v>
      </c>
      <c r="B2">
        <f>HEX2DEC(20)</f>
        <v>32</v>
      </c>
      <c r="C2" t="str">
        <f>""""&amp;_xlfn.UNICHAR($B2)&amp;""""</f>
        <v>" "</v>
      </c>
      <c r="F2" t="str">
        <f>""""&amp;_xlfn.UNICHAR(HEX2DEC(3000))&amp;""""</f>
        <v>"　"</v>
      </c>
      <c r="G2" t="str">
        <f>DEC2HEX(_xlfn.UNICODE("　"))</f>
        <v>3000</v>
      </c>
      <c r="H2" t="str">
        <f>IF($F2="","","    "&amp;$C2&amp;": "&amp;$F2)</f>
        <v xml:space="preserve">    " ": "　"</v>
      </c>
    </row>
    <row r="3" spans="1:8" hidden="1">
      <c r="A3" t="str">
        <f t="shared" ref="A3:A66" si="0">"0x"&amp;DEC2HEX($B3)</f>
        <v>0x21</v>
      </c>
      <c r="B3">
        <f>$B2+1</f>
        <v>33</v>
      </c>
      <c r="C3" t="str">
        <f t="shared" ref="C3:C66" si="1">""""&amp;_xlfn.UNICHAR($B3)&amp;""""</f>
        <v>"!"</v>
      </c>
      <c r="D3" t="s">
        <v>1</v>
      </c>
      <c r="E3">
        <v>1</v>
      </c>
      <c r="G3" t="str">
        <f>IF($F3="","",DEC2HEX(_xlfn.UNICODE($F3)))</f>
        <v/>
      </c>
      <c r="H3" t="str">
        <f t="shared" ref="H3:H66" si="2">IF($F3="","","    "&amp;$C3&amp;": "&amp;$F3)</f>
        <v/>
      </c>
    </row>
    <row r="4" spans="1:8">
      <c r="A4" t="str">
        <f t="shared" si="0"/>
        <v>0x22</v>
      </c>
      <c r="B4">
        <f t="shared" ref="B4:B20" si="3">$B3+1</f>
        <v>34</v>
      </c>
      <c r="C4" t="str">
        <f t="shared" si="1"/>
        <v>"""</v>
      </c>
      <c r="F4" t="s">
        <v>19</v>
      </c>
      <c r="G4" t="str">
        <f t="shared" ref="G4:G67" si="4">IF($F4="","",DEC2HEX(_xlfn.UNICODE($F4)))</f>
        <v>5B</v>
      </c>
      <c r="H4" t="str">
        <f>IF($F4="","","    "&amp;$C4&amp;": "&amp;""""&amp;$F4&amp;"""")</f>
        <v xml:space="preserve">    """: "[ 『, 』 ]"</v>
      </c>
    </row>
    <row r="5" spans="1:8" hidden="1">
      <c r="A5" t="str">
        <f t="shared" si="0"/>
        <v>0x23</v>
      </c>
      <c r="B5">
        <f t="shared" si="3"/>
        <v>35</v>
      </c>
      <c r="C5" t="str">
        <f t="shared" si="1"/>
        <v>"#"</v>
      </c>
      <c r="D5" t="s">
        <v>1</v>
      </c>
      <c r="E5">
        <v>3</v>
      </c>
      <c r="G5" t="str">
        <f t="shared" si="4"/>
        <v/>
      </c>
      <c r="H5" t="str">
        <f t="shared" si="2"/>
        <v/>
      </c>
    </row>
    <row r="6" spans="1:8" hidden="1">
      <c r="A6" t="str">
        <f t="shared" si="0"/>
        <v>0x24</v>
      </c>
      <c r="B6">
        <f t="shared" si="3"/>
        <v>36</v>
      </c>
      <c r="C6" t="str">
        <f t="shared" si="1"/>
        <v>"$"</v>
      </c>
      <c r="D6" t="s">
        <v>1</v>
      </c>
      <c r="E6">
        <v>4</v>
      </c>
      <c r="G6" t="str">
        <f t="shared" si="4"/>
        <v/>
      </c>
      <c r="H6" t="str">
        <f t="shared" si="2"/>
        <v/>
      </c>
    </row>
    <row r="7" spans="1:8" hidden="1">
      <c r="A7" t="str">
        <f t="shared" si="0"/>
        <v>0x25</v>
      </c>
      <c r="B7">
        <f t="shared" si="3"/>
        <v>37</v>
      </c>
      <c r="C7" t="str">
        <f t="shared" si="1"/>
        <v>"%"</v>
      </c>
      <c r="D7" t="s">
        <v>1</v>
      </c>
      <c r="E7">
        <v>5</v>
      </c>
      <c r="G7" t="str">
        <f t="shared" si="4"/>
        <v/>
      </c>
      <c r="H7" t="str">
        <f t="shared" si="2"/>
        <v/>
      </c>
    </row>
    <row r="8" spans="1:8" hidden="1">
      <c r="A8" t="str">
        <f t="shared" si="0"/>
        <v>0x26</v>
      </c>
      <c r="B8">
        <f t="shared" si="3"/>
        <v>38</v>
      </c>
      <c r="C8" t="str">
        <f t="shared" si="1"/>
        <v>"&amp;"</v>
      </c>
      <c r="D8" t="s">
        <v>1</v>
      </c>
      <c r="E8">
        <v>7</v>
      </c>
      <c r="G8" t="str">
        <f t="shared" si="4"/>
        <v/>
      </c>
      <c r="H8" t="str">
        <f t="shared" si="2"/>
        <v/>
      </c>
    </row>
    <row r="9" spans="1:8">
      <c r="A9" t="str">
        <f t="shared" si="0"/>
        <v>0x27</v>
      </c>
      <c r="B9">
        <f t="shared" si="3"/>
        <v>39</v>
      </c>
      <c r="C9" t="str">
        <f t="shared" si="1"/>
        <v>"'"</v>
      </c>
      <c r="F9" t="s">
        <v>18</v>
      </c>
      <c r="G9" t="str">
        <f t="shared" si="4"/>
        <v>5B</v>
      </c>
      <c r="H9" t="str">
        <f t="shared" ref="H9:H11" si="5">IF($F9="","","    "&amp;$C9&amp;": "&amp;""""&amp;$F9&amp;"""")</f>
        <v xml:space="preserve">    "'": "[ 「, 」]"</v>
      </c>
    </row>
    <row r="10" spans="1:8">
      <c r="A10" t="str">
        <f t="shared" si="0"/>
        <v>0x28</v>
      </c>
      <c r="B10">
        <f t="shared" si="3"/>
        <v>40</v>
      </c>
      <c r="C10" t="str">
        <f t="shared" si="1"/>
        <v>"("</v>
      </c>
      <c r="D10" t="s">
        <v>1</v>
      </c>
      <c r="E10">
        <v>9</v>
      </c>
      <c r="F10" t="s">
        <v>15</v>
      </c>
      <c r="G10" t="str">
        <f t="shared" si="4"/>
        <v>FF08</v>
      </c>
      <c r="H10" t="str">
        <f t="shared" si="5"/>
        <v xml:space="preserve">    "(": "（"</v>
      </c>
    </row>
    <row r="11" spans="1:8">
      <c r="A11" t="str">
        <f t="shared" si="0"/>
        <v>0x29</v>
      </c>
      <c r="B11">
        <f t="shared" si="3"/>
        <v>41</v>
      </c>
      <c r="C11" t="str">
        <f t="shared" si="1"/>
        <v>")"</v>
      </c>
      <c r="D11" t="s">
        <v>1</v>
      </c>
      <c r="E11">
        <v>10</v>
      </c>
      <c r="F11" t="s">
        <v>16</v>
      </c>
      <c r="G11" t="str">
        <f t="shared" si="4"/>
        <v>FF09</v>
      </c>
      <c r="H11" t="str">
        <f t="shared" si="5"/>
        <v xml:space="preserve">    ")": "）"</v>
      </c>
    </row>
    <row r="12" spans="1:8" hidden="1">
      <c r="A12" t="str">
        <f t="shared" si="0"/>
        <v>0x2A</v>
      </c>
      <c r="B12">
        <f t="shared" si="3"/>
        <v>42</v>
      </c>
      <c r="C12" t="str">
        <f t="shared" si="1"/>
        <v>"*"</v>
      </c>
      <c r="D12" t="s">
        <v>1</v>
      </c>
      <c r="E12">
        <v>8</v>
      </c>
      <c r="G12" t="str">
        <f t="shared" si="4"/>
        <v/>
      </c>
      <c r="H12" t="str">
        <f t="shared" si="2"/>
        <v/>
      </c>
    </row>
    <row r="13" spans="1:8" hidden="1">
      <c r="A13" t="str">
        <f t="shared" si="0"/>
        <v>0x2B</v>
      </c>
      <c r="B13">
        <f t="shared" si="3"/>
        <v>43</v>
      </c>
      <c r="C13" t="str">
        <f t="shared" si="1"/>
        <v>"+"</v>
      </c>
      <c r="D13" t="s">
        <v>1</v>
      </c>
      <c r="E13">
        <v>12</v>
      </c>
      <c r="G13" t="str">
        <f t="shared" si="4"/>
        <v/>
      </c>
      <c r="H13" t="str">
        <f t="shared" si="2"/>
        <v/>
      </c>
    </row>
    <row r="14" spans="1:8">
      <c r="A14" t="str">
        <f t="shared" si="0"/>
        <v>0x2C</v>
      </c>
      <c r="B14">
        <f t="shared" si="3"/>
        <v>44</v>
      </c>
      <c r="C14" t="str">
        <f t="shared" si="1"/>
        <v>","</v>
      </c>
      <c r="F14" t="s">
        <v>6</v>
      </c>
      <c r="G14" t="str">
        <f t="shared" si="4"/>
        <v>FF0C</v>
      </c>
      <c r="H14" t="str">
        <f t="shared" ref="H14:H29" si="6">IF($F14="","","    "&amp;$C14&amp;": "&amp;""""&amp;$F14&amp;"""")</f>
        <v xml:space="preserve">    ",": "，"</v>
      </c>
    </row>
    <row r="15" spans="1:8">
      <c r="A15" t="str">
        <f t="shared" si="0"/>
        <v>0x2D</v>
      </c>
      <c r="B15">
        <f t="shared" si="3"/>
        <v>45</v>
      </c>
      <c r="C15" t="str">
        <f t="shared" si="1"/>
        <v>"-"</v>
      </c>
      <c r="D15" t="s">
        <v>0</v>
      </c>
      <c r="E15">
        <v>11</v>
      </c>
      <c r="F15" t="s">
        <v>7</v>
      </c>
      <c r="G15" t="str">
        <f t="shared" si="4"/>
        <v>2014</v>
      </c>
      <c r="H15" t="str">
        <f t="shared" si="6"/>
        <v xml:space="preserve">    "-": "——"</v>
      </c>
    </row>
    <row r="16" spans="1:8">
      <c r="A16" t="str">
        <f t="shared" si="0"/>
        <v>0x2E</v>
      </c>
      <c r="B16">
        <f>$B15+1</f>
        <v>46</v>
      </c>
      <c r="C16" t="str">
        <f t="shared" si="1"/>
        <v>"."</v>
      </c>
      <c r="F16" t="s">
        <v>4</v>
      </c>
      <c r="G16" t="str">
        <f t="shared" si="4"/>
        <v>3002</v>
      </c>
      <c r="H16" t="str">
        <f t="shared" si="6"/>
        <v xml:space="preserve">    ".": "。"</v>
      </c>
    </row>
    <row r="17" spans="1:8">
      <c r="A17" t="str">
        <f t="shared" si="0"/>
        <v>0x2F</v>
      </c>
      <c r="B17">
        <f t="shared" si="3"/>
        <v>47</v>
      </c>
      <c r="C17" t="str">
        <f t="shared" si="1"/>
        <v>"/"</v>
      </c>
      <c r="F17" t="s">
        <v>5</v>
      </c>
      <c r="G17" t="str">
        <f t="shared" si="4"/>
        <v>3001</v>
      </c>
      <c r="H17" t="str">
        <f t="shared" si="6"/>
        <v xml:space="preserve">    "/": "、"</v>
      </c>
    </row>
    <row r="18" spans="1:8">
      <c r="A18" t="str">
        <f t="shared" si="0"/>
        <v>0x30</v>
      </c>
      <c r="B18">
        <f t="shared" si="3"/>
        <v>48</v>
      </c>
      <c r="C18" t="str">
        <f t="shared" si="1"/>
        <v>"0"</v>
      </c>
      <c r="D18" t="s">
        <v>0</v>
      </c>
      <c r="E18">
        <v>1</v>
      </c>
      <c r="F18" t="s">
        <v>29</v>
      </c>
      <c r="G18" t="str">
        <f t="shared" si="4"/>
        <v>3007</v>
      </c>
      <c r="H18" t="str">
        <f t="shared" si="6"/>
        <v xml:space="preserve">    "0": "〇"</v>
      </c>
    </row>
    <row r="19" spans="1:8">
      <c r="A19" t="str">
        <f t="shared" si="0"/>
        <v>0x31</v>
      </c>
      <c r="B19">
        <f t="shared" si="3"/>
        <v>49</v>
      </c>
      <c r="C19" t="str">
        <f t="shared" si="1"/>
        <v>"1"</v>
      </c>
      <c r="D19" t="s">
        <v>0</v>
      </c>
      <c r="E19">
        <v>2</v>
      </c>
      <c r="F19" t="s">
        <v>20</v>
      </c>
      <c r="G19" t="str">
        <f t="shared" si="4"/>
        <v>4E00</v>
      </c>
      <c r="H19" t="str">
        <f t="shared" si="6"/>
        <v xml:space="preserve">    "1": "一"</v>
      </c>
    </row>
    <row r="20" spans="1:8">
      <c r="A20" t="str">
        <f t="shared" si="0"/>
        <v>0x32</v>
      </c>
      <c r="B20">
        <f t="shared" si="3"/>
        <v>50</v>
      </c>
      <c r="C20" t="str">
        <f t="shared" si="1"/>
        <v>"2"</v>
      </c>
      <c r="D20" t="s">
        <v>0</v>
      </c>
      <c r="E20">
        <v>3</v>
      </c>
      <c r="F20" t="s">
        <v>21</v>
      </c>
      <c r="G20" t="str">
        <f t="shared" si="4"/>
        <v>4E8C</v>
      </c>
      <c r="H20" t="str">
        <f t="shared" si="6"/>
        <v xml:space="preserve">    "2": "二"</v>
      </c>
    </row>
    <row r="21" spans="1:8">
      <c r="A21" t="str">
        <f t="shared" si="0"/>
        <v>0x33</v>
      </c>
      <c r="B21">
        <f t="shared" ref="B21:B30" si="7">$B20+1</f>
        <v>51</v>
      </c>
      <c r="C21" t="str">
        <f t="shared" si="1"/>
        <v>"3"</v>
      </c>
      <c r="D21" t="s">
        <v>0</v>
      </c>
      <c r="E21">
        <v>4</v>
      </c>
      <c r="F21" t="s">
        <v>22</v>
      </c>
      <c r="G21" t="str">
        <f t="shared" si="4"/>
        <v>4E09</v>
      </c>
      <c r="H21" t="str">
        <f t="shared" si="6"/>
        <v xml:space="preserve">    "3": "三"</v>
      </c>
    </row>
    <row r="22" spans="1:8">
      <c r="A22" t="str">
        <f t="shared" si="0"/>
        <v>0x34</v>
      </c>
      <c r="B22">
        <f t="shared" si="7"/>
        <v>52</v>
      </c>
      <c r="C22" t="str">
        <f t="shared" si="1"/>
        <v>"4"</v>
      </c>
      <c r="D22" t="s">
        <v>0</v>
      </c>
      <c r="E22">
        <v>5</v>
      </c>
      <c r="F22" t="s">
        <v>23</v>
      </c>
      <c r="G22" t="str">
        <f t="shared" si="4"/>
        <v>56DB</v>
      </c>
      <c r="H22" t="str">
        <f t="shared" si="6"/>
        <v xml:space="preserve">    "4": "四"</v>
      </c>
    </row>
    <row r="23" spans="1:8">
      <c r="A23" t="str">
        <f t="shared" si="0"/>
        <v>0x35</v>
      </c>
      <c r="B23">
        <f t="shared" si="7"/>
        <v>53</v>
      </c>
      <c r="C23" t="str">
        <f t="shared" si="1"/>
        <v>"5"</v>
      </c>
      <c r="D23" t="s">
        <v>0</v>
      </c>
      <c r="E23">
        <v>6</v>
      </c>
      <c r="F23" t="s">
        <v>24</v>
      </c>
      <c r="G23" t="str">
        <f t="shared" si="4"/>
        <v>4E94</v>
      </c>
      <c r="H23" t="str">
        <f t="shared" si="6"/>
        <v xml:space="preserve">    "5": "五"</v>
      </c>
    </row>
    <row r="24" spans="1:8">
      <c r="A24" t="str">
        <f t="shared" si="0"/>
        <v>0x36</v>
      </c>
      <c r="B24">
        <f t="shared" si="7"/>
        <v>54</v>
      </c>
      <c r="C24" t="str">
        <f t="shared" si="1"/>
        <v>"6"</v>
      </c>
      <c r="D24" t="s">
        <v>0</v>
      </c>
      <c r="E24">
        <v>7</v>
      </c>
      <c r="F24" t="s">
        <v>25</v>
      </c>
      <c r="G24" t="str">
        <f t="shared" si="4"/>
        <v>516D</v>
      </c>
      <c r="H24" t="str">
        <f t="shared" si="6"/>
        <v xml:space="preserve">    "6": "六"</v>
      </c>
    </row>
    <row r="25" spans="1:8">
      <c r="A25" t="str">
        <f t="shared" si="0"/>
        <v>0x37</v>
      </c>
      <c r="B25">
        <f t="shared" si="7"/>
        <v>55</v>
      </c>
      <c r="C25" t="str">
        <f t="shared" si="1"/>
        <v>"7"</v>
      </c>
      <c r="D25" t="s">
        <v>0</v>
      </c>
      <c r="E25">
        <v>8</v>
      </c>
      <c r="F25" t="s">
        <v>26</v>
      </c>
      <c r="G25" t="str">
        <f t="shared" si="4"/>
        <v>4E03</v>
      </c>
      <c r="H25" t="str">
        <f t="shared" si="6"/>
        <v xml:space="preserve">    "7": "七"</v>
      </c>
    </row>
    <row r="26" spans="1:8">
      <c r="A26" t="str">
        <f t="shared" si="0"/>
        <v>0x38</v>
      </c>
      <c r="B26">
        <f t="shared" si="7"/>
        <v>56</v>
      </c>
      <c r="C26" t="str">
        <f t="shared" si="1"/>
        <v>"8"</v>
      </c>
      <c r="D26" t="s">
        <v>0</v>
      </c>
      <c r="E26">
        <v>9</v>
      </c>
      <c r="F26" t="s">
        <v>27</v>
      </c>
      <c r="G26" t="str">
        <f t="shared" si="4"/>
        <v>516B</v>
      </c>
      <c r="H26" t="str">
        <f t="shared" si="6"/>
        <v xml:space="preserve">    "8": "八"</v>
      </c>
    </row>
    <row r="27" spans="1:8">
      <c r="A27" t="str">
        <f t="shared" si="0"/>
        <v>0x39</v>
      </c>
      <c r="B27">
        <f t="shared" si="7"/>
        <v>57</v>
      </c>
      <c r="C27" t="str">
        <f t="shared" si="1"/>
        <v>"9"</v>
      </c>
      <c r="D27" t="s">
        <v>0</v>
      </c>
      <c r="E27">
        <v>10</v>
      </c>
      <c r="F27" t="s">
        <v>28</v>
      </c>
      <c r="G27" t="str">
        <f t="shared" si="4"/>
        <v>4E5D</v>
      </c>
      <c r="H27" t="str">
        <f t="shared" si="6"/>
        <v xml:space="preserve">    "9": "九"</v>
      </c>
    </row>
    <row r="28" spans="1:8">
      <c r="A28" t="str">
        <f t="shared" si="0"/>
        <v>0x3A</v>
      </c>
      <c r="B28">
        <f t="shared" si="7"/>
        <v>58</v>
      </c>
      <c r="C28" t="str">
        <f t="shared" si="1"/>
        <v>":"</v>
      </c>
      <c r="F28" t="s">
        <v>8</v>
      </c>
      <c r="G28" t="str">
        <f t="shared" si="4"/>
        <v>FF1A</v>
      </c>
      <c r="H28" t="str">
        <f t="shared" si="6"/>
        <v xml:space="preserve">    ":": "："</v>
      </c>
    </row>
    <row r="29" spans="1:8">
      <c r="A29" t="str">
        <f t="shared" si="0"/>
        <v>0x3B</v>
      </c>
      <c r="B29">
        <f t="shared" si="7"/>
        <v>59</v>
      </c>
      <c r="C29" t="str">
        <f t="shared" si="1"/>
        <v>";"</v>
      </c>
      <c r="F29" t="s">
        <v>9</v>
      </c>
      <c r="G29" t="str">
        <f t="shared" si="4"/>
        <v>FF1B</v>
      </c>
      <c r="H29" t="str">
        <f t="shared" si="6"/>
        <v xml:space="preserve">    ";": "；"</v>
      </c>
    </row>
    <row r="30" spans="1:8" hidden="1">
      <c r="A30" t="str">
        <f t="shared" si="0"/>
        <v>0x3C</v>
      </c>
      <c r="B30">
        <f t="shared" si="7"/>
        <v>60</v>
      </c>
      <c r="C30" t="str">
        <f t="shared" si="1"/>
        <v>"&lt;"</v>
      </c>
      <c r="G30" t="str">
        <f t="shared" si="4"/>
        <v/>
      </c>
      <c r="H30" t="str">
        <f t="shared" si="2"/>
        <v/>
      </c>
    </row>
    <row r="31" spans="1:8" hidden="1">
      <c r="A31" t="str">
        <f t="shared" si="0"/>
        <v>0x3D</v>
      </c>
      <c r="B31">
        <f t="shared" ref="B31:B94" si="8">$B30+1</f>
        <v>61</v>
      </c>
      <c r="C31" t="str">
        <f t="shared" si="1"/>
        <v>"="</v>
      </c>
      <c r="D31" t="s">
        <v>0</v>
      </c>
      <c r="E31">
        <v>12</v>
      </c>
      <c r="G31" t="str">
        <f t="shared" si="4"/>
        <v/>
      </c>
      <c r="H31" t="str">
        <f t="shared" si="2"/>
        <v/>
      </c>
    </row>
    <row r="32" spans="1:8" hidden="1">
      <c r="A32" t="str">
        <f t="shared" si="0"/>
        <v>0x3E</v>
      </c>
      <c r="B32">
        <f t="shared" si="8"/>
        <v>62</v>
      </c>
      <c r="C32" t="str">
        <f t="shared" si="1"/>
        <v>"&gt;"</v>
      </c>
      <c r="G32" t="str">
        <f t="shared" si="4"/>
        <v/>
      </c>
      <c r="H32" t="str">
        <f t="shared" si="2"/>
        <v/>
      </c>
    </row>
    <row r="33" spans="1:8">
      <c r="A33" t="str">
        <f t="shared" si="0"/>
        <v>0x3F</v>
      </c>
      <c r="B33">
        <f t="shared" si="8"/>
        <v>63</v>
      </c>
      <c r="C33" t="str">
        <f t="shared" si="1"/>
        <v>"?"</v>
      </c>
      <c r="F33" t="s">
        <v>10</v>
      </c>
      <c r="G33" t="str">
        <f t="shared" si="4"/>
        <v>FF1F</v>
      </c>
      <c r="H33" t="str">
        <f>IF($F33="","","    "&amp;$C33&amp;": "&amp;""""&amp;$F33&amp;"""")</f>
        <v xml:space="preserve">    "?": "？"</v>
      </c>
    </row>
    <row r="34" spans="1:8" hidden="1">
      <c r="A34" t="str">
        <f t="shared" si="0"/>
        <v>0x40</v>
      </c>
      <c r="B34">
        <f t="shared" si="8"/>
        <v>64</v>
      </c>
      <c r="C34" t="str">
        <f t="shared" si="1"/>
        <v>"@"</v>
      </c>
      <c r="D34" t="s">
        <v>1</v>
      </c>
      <c r="E34">
        <v>2</v>
      </c>
      <c r="G34" t="str">
        <f t="shared" si="4"/>
        <v/>
      </c>
      <c r="H34" t="str">
        <f t="shared" si="2"/>
        <v/>
      </c>
    </row>
    <row r="35" spans="1:8" hidden="1">
      <c r="A35" t="str">
        <f t="shared" si="0"/>
        <v>0x41</v>
      </c>
      <c r="B35">
        <f t="shared" si="8"/>
        <v>65</v>
      </c>
      <c r="C35" t="str">
        <f t="shared" si="1"/>
        <v>"A"</v>
      </c>
      <c r="D35" t="s">
        <v>2</v>
      </c>
      <c r="E35">
        <v>1</v>
      </c>
      <c r="G35" t="str">
        <f t="shared" si="4"/>
        <v/>
      </c>
      <c r="H35" t="str">
        <f t="shared" si="2"/>
        <v/>
      </c>
    </row>
    <row r="36" spans="1:8" hidden="1">
      <c r="A36" t="str">
        <f t="shared" si="0"/>
        <v>0x42</v>
      </c>
      <c r="B36">
        <f t="shared" si="8"/>
        <v>66</v>
      </c>
      <c r="C36" t="str">
        <f t="shared" si="1"/>
        <v>"B"</v>
      </c>
      <c r="D36" t="s">
        <v>2</v>
      </c>
      <c r="E36">
        <v>2</v>
      </c>
      <c r="G36" t="str">
        <f t="shared" si="4"/>
        <v/>
      </c>
      <c r="H36" t="str">
        <f t="shared" si="2"/>
        <v/>
      </c>
    </row>
    <row r="37" spans="1:8" hidden="1">
      <c r="A37" t="str">
        <f t="shared" si="0"/>
        <v>0x43</v>
      </c>
      <c r="B37">
        <f t="shared" si="8"/>
        <v>67</v>
      </c>
      <c r="C37" t="str">
        <f t="shared" si="1"/>
        <v>"C"</v>
      </c>
      <c r="D37" t="s">
        <v>2</v>
      </c>
      <c r="E37">
        <v>3</v>
      </c>
      <c r="G37" t="str">
        <f t="shared" si="4"/>
        <v/>
      </c>
      <c r="H37" t="str">
        <f t="shared" si="2"/>
        <v/>
      </c>
    </row>
    <row r="38" spans="1:8" hidden="1">
      <c r="A38" t="str">
        <f t="shared" si="0"/>
        <v>0x44</v>
      </c>
      <c r="B38">
        <f t="shared" si="8"/>
        <v>68</v>
      </c>
      <c r="C38" t="str">
        <f t="shared" si="1"/>
        <v>"D"</v>
      </c>
      <c r="D38" t="s">
        <v>2</v>
      </c>
      <c r="E38">
        <v>4</v>
      </c>
      <c r="G38" t="str">
        <f t="shared" si="4"/>
        <v/>
      </c>
      <c r="H38" t="str">
        <f t="shared" si="2"/>
        <v/>
      </c>
    </row>
    <row r="39" spans="1:8" hidden="1">
      <c r="A39" t="str">
        <f t="shared" si="0"/>
        <v>0x45</v>
      </c>
      <c r="B39">
        <f t="shared" si="8"/>
        <v>69</v>
      </c>
      <c r="C39" t="str">
        <f t="shared" si="1"/>
        <v>"E"</v>
      </c>
      <c r="D39" t="s">
        <v>2</v>
      </c>
      <c r="E39">
        <v>5</v>
      </c>
      <c r="G39" t="str">
        <f t="shared" si="4"/>
        <v/>
      </c>
      <c r="H39" t="str">
        <f t="shared" si="2"/>
        <v/>
      </c>
    </row>
    <row r="40" spans="1:8" hidden="1">
      <c r="A40" t="str">
        <f t="shared" si="0"/>
        <v>0x46</v>
      </c>
      <c r="B40">
        <f t="shared" si="8"/>
        <v>70</v>
      </c>
      <c r="C40" t="str">
        <f t="shared" si="1"/>
        <v>"F"</v>
      </c>
      <c r="D40" t="s">
        <v>2</v>
      </c>
      <c r="E40">
        <v>6</v>
      </c>
      <c r="G40" t="str">
        <f t="shared" si="4"/>
        <v/>
      </c>
      <c r="H40" t="str">
        <f t="shared" si="2"/>
        <v/>
      </c>
    </row>
    <row r="41" spans="1:8" hidden="1">
      <c r="A41" t="str">
        <f t="shared" si="0"/>
        <v>0x47</v>
      </c>
      <c r="B41">
        <f t="shared" si="8"/>
        <v>71</v>
      </c>
      <c r="C41" t="str">
        <f t="shared" si="1"/>
        <v>"G"</v>
      </c>
      <c r="D41" t="s">
        <v>2</v>
      </c>
      <c r="E41">
        <v>7</v>
      </c>
      <c r="G41" t="str">
        <f t="shared" si="4"/>
        <v/>
      </c>
      <c r="H41" t="str">
        <f t="shared" si="2"/>
        <v/>
      </c>
    </row>
    <row r="42" spans="1:8" hidden="1">
      <c r="A42" t="str">
        <f t="shared" si="0"/>
        <v>0x48</v>
      </c>
      <c r="B42">
        <f t="shared" si="8"/>
        <v>72</v>
      </c>
      <c r="C42" t="str">
        <f t="shared" si="1"/>
        <v>"H"</v>
      </c>
      <c r="D42" t="s">
        <v>2</v>
      </c>
      <c r="E42">
        <v>8</v>
      </c>
      <c r="G42" t="str">
        <f t="shared" si="4"/>
        <v/>
      </c>
      <c r="H42" t="str">
        <f t="shared" si="2"/>
        <v/>
      </c>
    </row>
    <row r="43" spans="1:8" hidden="1">
      <c r="A43" t="str">
        <f t="shared" si="0"/>
        <v>0x49</v>
      </c>
      <c r="B43">
        <f t="shared" si="8"/>
        <v>73</v>
      </c>
      <c r="C43" t="str">
        <f t="shared" si="1"/>
        <v>"I"</v>
      </c>
      <c r="D43" t="s">
        <v>2</v>
      </c>
      <c r="E43">
        <v>9</v>
      </c>
      <c r="G43" t="str">
        <f t="shared" si="4"/>
        <v/>
      </c>
      <c r="H43" t="str">
        <f t="shared" si="2"/>
        <v/>
      </c>
    </row>
    <row r="44" spans="1:8" hidden="1">
      <c r="A44" t="str">
        <f t="shared" si="0"/>
        <v>0x4A</v>
      </c>
      <c r="B44">
        <f t="shared" si="8"/>
        <v>74</v>
      </c>
      <c r="C44" t="str">
        <f t="shared" si="1"/>
        <v>"J"</v>
      </c>
      <c r="D44" t="s">
        <v>2</v>
      </c>
      <c r="E44">
        <v>10</v>
      </c>
      <c r="G44" t="str">
        <f t="shared" si="4"/>
        <v/>
      </c>
      <c r="H44" t="str">
        <f t="shared" si="2"/>
        <v/>
      </c>
    </row>
    <row r="45" spans="1:8" hidden="1">
      <c r="A45" t="str">
        <f t="shared" si="0"/>
        <v>0x4B</v>
      </c>
      <c r="B45">
        <f t="shared" si="8"/>
        <v>75</v>
      </c>
      <c r="C45" t="str">
        <f t="shared" si="1"/>
        <v>"K"</v>
      </c>
      <c r="D45" t="s">
        <v>2</v>
      </c>
      <c r="E45">
        <v>11</v>
      </c>
      <c r="G45" t="str">
        <f t="shared" si="4"/>
        <v/>
      </c>
      <c r="H45" t="str">
        <f t="shared" si="2"/>
        <v/>
      </c>
    </row>
    <row r="46" spans="1:8" hidden="1">
      <c r="A46" t="str">
        <f t="shared" si="0"/>
        <v>0x4C</v>
      </c>
      <c r="B46">
        <f t="shared" si="8"/>
        <v>76</v>
      </c>
      <c r="C46" t="str">
        <f t="shared" si="1"/>
        <v>"L"</v>
      </c>
      <c r="D46" t="s">
        <v>2</v>
      </c>
      <c r="E46">
        <v>12</v>
      </c>
      <c r="G46" t="str">
        <f t="shared" si="4"/>
        <v/>
      </c>
      <c r="H46" t="str">
        <f t="shared" si="2"/>
        <v/>
      </c>
    </row>
    <row r="47" spans="1:8" hidden="1">
      <c r="A47" t="str">
        <f t="shared" si="0"/>
        <v>0x4D</v>
      </c>
      <c r="B47">
        <f t="shared" si="8"/>
        <v>77</v>
      </c>
      <c r="C47" t="str">
        <f t="shared" si="1"/>
        <v>"M"</v>
      </c>
      <c r="D47" t="s">
        <v>2</v>
      </c>
      <c r="E47">
        <v>13</v>
      </c>
      <c r="G47" t="str">
        <f t="shared" si="4"/>
        <v/>
      </c>
      <c r="H47" t="str">
        <f t="shared" si="2"/>
        <v/>
      </c>
    </row>
    <row r="48" spans="1:8" hidden="1">
      <c r="A48" t="str">
        <f t="shared" si="0"/>
        <v>0x4E</v>
      </c>
      <c r="B48">
        <f t="shared" si="8"/>
        <v>78</v>
      </c>
      <c r="C48" t="str">
        <f t="shared" si="1"/>
        <v>"N"</v>
      </c>
      <c r="D48" t="s">
        <v>2</v>
      </c>
      <c r="E48">
        <v>14</v>
      </c>
      <c r="G48" t="str">
        <f t="shared" si="4"/>
        <v/>
      </c>
      <c r="H48" t="str">
        <f t="shared" si="2"/>
        <v/>
      </c>
    </row>
    <row r="49" spans="1:8" hidden="1">
      <c r="A49" t="str">
        <f t="shared" si="0"/>
        <v>0x4F</v>
      </c>
      <c r="B49">
        <f t="shared" si="8"/>
        <v>79</v>
      </c>
      <c r="C49" t="str">
        <f t="shared" si="1"/>
        <v>"O"</v>
      </c>
      <c r="D49" t="s">
        <v>2</v>
      </c>
      <c r="E49">
        <v>15</v>
      </c>
      <c r="G49" t="str">
        <f t="shared" si="4"/>
        <v/>
      </c>
      <c r="H49" t="str">
        <f t="shared" si="2"/>
        <v/>
      </c>
    </row>
    <row r="50" spans="1:8" hidden="1">
      <c r="A50" t="str">
        <f t="shared" si="0"/>
        <v>0x50</v>
      </c>
      <c r="B50">
        <f t="shared" si="8"/>
        <v>80</v>
      </c>
      <c r="C50" t="str">
        <f t="shared" si="1"/>
        <v>"P"</v>
      </c>
      <c r="D50" t="s">
        <v>2</v>
      </c>
      <c r="E50">
        <v>16</v>
      </c>
      <c r="G50" t="str">
        <f t="shared" si="4"/>
        <v/>
      </c>
      <c r="H50" t="str">
        <f t="shared" si="2"/>
        <v/>
      </c>
    </row>
    <row r="51" spans="1:8" hidden="1">
      <c r="A51" t="str">
        <f t="shared" si="0"/>
        <v>0x51</v>
      </c>
      <c r="B51">
        <f t="shared" si="8"/>
        <v>81</v>
      </c>
      <c r="C51" t="str">
        <f t="shared" si="1"/>
        <v>"Q"</v>
      </c>
      <c r="D51" t="s">
        <v>2</v>
      </c>
      <c r="E51">
        <v>17</v>
      </c>
      <c r="G51" t="str">
        <f t="shared" si="4"/>
        <v/>
      </c>
      <c r="H51" t="str">
        <f t="shared" si="2"/>
        <v/>
      </c>
    </row>
    <row r="52" spans="1:8" hidden="1">
      <c r="A52" t="str">
        <f t="shared" si="0"/>
        <v>0x52</v>
      </c>
      <c r="B52">
        <f t="shared" si="8"/>
        <v>82</v>
      </c>
      <c r="C52" t="str">
        <f t="shared" si="1"/>
        <v>"R"</v>
      </c>
      <c r="D52" t="s">
        <v>2</v>
      </c>
      <c r="E52">
        <v>18</v>
      </c>
      <c r="G52" t="str">
        <f t="shared" si="4"/>
        <v/>
      </c>
      <c r="H52" t="str">
        <f t="shared" si="2"/>
        <v/>
      </c>
    </row>
    <row r="53" spans="1:8" hidden="1">
      <c r="A53" t="str">
        <f t="shared" si="0"/>
        <v>0x53</v>
      </c>
      <c r="B53">
        <f t="shared" si="8"/>
        <v>83</v>
      </c>
      <c r="C53" t="str">
        <f t="shared" si="1"/>
        <v>"S"</v>
      </c>
      <c r="D53" t="s">
        <v>2</v>
      </c>
      <c r="E53">
        <v>19</v>
      </c>
      <c r="G53" t="str">
        <f t="shared" si="4"/>
        <v/>
      </c>
      <c r="H53" t="str">
        <f t="shared" si="2"/>
        <v/>
      </c>
    </row>
    <row r="54" spans="1:8" hidden="1">
      <c r="A54" t="str">
        <f t="shared" si="0"/>
        <v>0x54</v>
      </c>
      <c r="B54">
        <f t="shared" si="8"/>
        <v>84</v>
      </c>
      <c r="C54" t="str">
        <f t="shared" si="1"/>
        <v>"T"</v>
      </c>
      <c r="D54" t="s">
        <v>2</v>
      </c>
      <c r="E54">
        <v>20</v>
      </c>
      <c r="G54" t="str">
        <f t="shared" si="4"/>
        <v/>
      </c>
      <c r="H54" t="str">
        <f t="shared" si="2"/>
        <v/>
      </c>
    </row>
    <row r="55" spans="1:8" hidden="1">
      <c r="A55" t="str">
        <f t="shared" si="0"/>
        <v>0x55</v>
      </c>
      <c r="B55">
        <f t="shared" si="8"/>
        <v>85</v>
      </c>
      <c r="C55" t="str">
        <f t="shared" si="1"/>
        <v>"U"</v>
      </c>
      <c r="D55" t="s">
        <v>2</v>
      </c>
      <c r="E55">
        <v>21</v>
      </c>
      <c r="G55" t="str">
        <f t="shared" si="4"/>
        <v/>
      </c>
      <c r="H55" t="str">
        <f t="shared" si="2"/>
        <v/>
      </c>
    </row>
    <row r="56" spans="1:8" hidden="1">
      <c r="A56" t="str">
        <f t="shared" si="0"/>
        <v>0x56</v>
      </c>
      <c r="B56">
        <f t="shared" si="8"/>
        <v>86</v>
      </c>
      <c r="C56" t="str">
        <f t="shared" si="1"/>
        <v>"V"</v>
      </c>
      <c r="D56" t="s">
        <v>2</v>
      </c>
      <c r="E56">
        <v>22</v>
      </c>
      <c r="G56" t="str">
        <f t="shared" si="4"/>
        <v/>
      </c>
      <c r="H56" t="str">
        <f t="shared" si="2"/>
        <v/>
      </c>
    </row>
    <row r="57" spans="1:8" hidden="1">
      <c r="A57" t="str">
        <f t="shared" si="0"/>
        <v>0x57</v>
      </c>
      <c r="B57">
        <f t="shared" si="8"/>
        <v>87</v>
      </c>
      <c r="C57" t="str">
        <f t="shared" si="1"/>
        <v>"W"</v>
      </c>
      <c r="D57" t="s">
        <v>2</v>
      </c>
      <c r="E57">
        <v>23</v>
      </c>
      <c r="G57" t="str">
        <f t="shared" si="4"/>
        <v/>
      </c>
      <c r="H57" t="str">
        <f t="shared" si="2"/>
        <v/>
      </c>
    </row>
    <row r="58" spans="1:8" hidden="1">
      <c r="A58" t="str">
        <f t="shared" si="0"/>
        <v>0x58</v>
      </c>
      <c r="B58">
        <f t="shared" si="8"/>
        <v>88</v>
      </c>
      <c r="C58" t="str">
        <f t="shared" si="1"/>
        <v>"X"</v>
      </c>
      <c r="D58" t="s">
        <v>2</v>
      </c>
      <c r="E58">
        <v>24</v>
      </c>
      <c r="G58" t="str">
        <f t="shared" si="4"/>
        <v/>
      </c>
      <c r="H58" t="str">
        <f t="shared" si="2"/>
        <v/>
      </c>
    </row>
    <row r="59" spans="1:8" hidden="1">
      <c r="A59" t="str">
        <f t="shared" si="0"/>
        <v>0x59</v>
      </c>
      <c r="B59">
        <f t="shared" si="8"/>
        <v>89</v>
      </c>
      <c r="C59" t="str">
        <f t="shared" si="1"/>
        <v>"Y"</v>
      </c>
      <c r="D59" t="s">
        <v>2</v>
      </c>
      <c r="E59">
        <v>25</v>
      </c>
      <c r="G59" t="str">
        <f t="shared" si="4"/>
        <v/>
      </c>
      <c r="H59" t="str">
        <f t="shared" si="2"/>
        <v/>
      </c>
    </row>
    <row r="60" spans="1:8" hidden="1">
      <c r="A60" t="str">
        <f t="shared" si="0"/>
        <v>0x5A</v>
      </c>
      <c r="B60">
        <f t="shared" si="8"/>
        <v>90</v>
      </c>
      <c r="C60" t="str">
        <f t="shared" si="1"/>
        <v>"Z"</v>
      </c>
      <c r="D60" t="s">
        <v>2</v>
      </c>
      <c r="E60">
        <v>26</v>
      </c>
      <c r="G60" t="str">
        <f t="shared" si="4"/>
        <v/>
      </c>
      <c r="H60" t="str">
        <f t="shared" si="2"/>
        <v/>
      </c>
    </row>
    <row r="61" spans="1:8">
      <c r="A61" t="str">
        <f t="shared" si="0"/>
        <v>0x5B</v>
      </c>
      <c r="B61">
        <f t="shared" si="8"/>
        <v>91</v>
      </c>
      <c r="C61" t="str">
        <f t="shared" si="1"/>
        <v>"["</v>
      </c>
      <c r="F61" t="s">
        <v>11</v>
      </c>
      <c r="G61" t="str">
        <f t="shared" si="4"/>
        <v>3010</v>
      </c>
      <c r="H61" t="str">
        <f>IF($F61="","","    "&amp;$C61&amp;": "&amp;""""&amp;$F61&amp;"""")</f>
        <v xml:space="preserve">    "[": "【"</v>
      </c>
    </row>
    <row r="62" spans="1:8" hidden="1">
      <c r="A62" t="str">
        <f t="shared" si="0"/>
        <v>0x5C</v>
      </c>
      <c r="B62">
        <f t="shared" si="8"/>
        <v>92</v>
      </c>
      <c r="C62" t="str">
        <f t="shared" si="1"/>
        <v>"\"</v>
      </c>
      <c r="G62" t="str">
        <f t="shared" si="4"/>
        <v/>
      </c>
      <c r="H62" t="str">
        <f t="shared" si="2"/>
        <v/>
      </c>
    </row>
    <row r="63" spans="1:8">
      <c r="A63" t="str">
        <f t="shared" si="0"/>
        <v>0x5D</v>
      </c>
      <c r="B63">
        <f t="shared" si="8"/>
        <v>93</v>
      </c>
      <c r="C63" t="str">
        <f t="shared" si="1"/>
        <v>"]"</v>
      </c>
      <c r="F63" t="s">
        <v>12</v>
      </c>
      <c r="G63" t="str">
        <f t="shared" si="4"/>
        <v>3011</v>
      </c>
      <c r="H63" t="str">
        <f>IF($F63="","","    "&amp;$C63&amp;": "&amp;""""&amp;$F63&amp;"""")</f>
        <v xml:space="preserve">    "]": "】"</v>
      </c>
    </row>
    <row r="64" spans="1:8" hidden="1">
      <c r="A64" t="str">
        <f t="shared" si="0"/>
        <v>0x5E</v>
      </c>
      <c r="B64">
        <f t="shared" si="8"/>
        <v>94</v>
      </c>
      <c r="C64" t="str">
        <f t="shared" si="1"/>
        <v>"^"</v>
      </c>
      <c r="D64" t="s">
        <v>1</v>
      </c>
      <c r="E64">
        <v>6</v>
      </c>
      <c r="G64" t="str">
        <f t="shared" si="4"/>
        <v/>
      </c>
      <c r="H64" t="str">
        <f t="shared" si="2"/>
        <v/>
      </c>
    </row>
    <row r="65" spans="1:8" hidden="1">
      <c r="A65" t="str">
        <f t="shared" si="0"/>
        <v>0x5F</v>
      </c>
      <c r="B65">
        <f t="shared" si="8"/>
        <v>95</v>
      </c>
      <c r="C65" t="str">
        <f t="shared" si="1"/>
        <v>"_"</v>
      </c>
      <c r="D65" t="s">
        <v>1</v>
      </c>
      <c r="E65">
        <v>11</v>
      </c>
      <c r="G65" t="str">
        <f t="shared" si="4"/>
        <v/>
      </c>
      <c r="H65" t="str">
        <f t="shared" si="2"/>
        <v/>
      </c>
    </row>
    <row r="66" spans="1:8">
      <c r="A66" t="str">
        <f t="shared" si="0"/>
        <v>0x60</v>
      </c>
      <c r="B66">
        <f t="shared" si="8"/>
        <v>96</v>
      </c>
      <c r="C66" t="str">
        <f t="shared" si="1"/>
        <v>"`"</v>
      </c>
      <c r="D66" t="s">
        <v>0</v>
      </c>
      <c r="E66">
        <v>0</v>
      </c>
      <c r="F66" t="s">
        <v>17</v>
      </c>
      <c r="G66" t="str">
        <f t="shared" si="4"/>
        <v>30FB</v>
      </c>
      <c r="H66" t="str">
        <f>IF($F66="","","    "&amp;$C66&amp;": "&amp;""""&amp;$F66&amp;"""")</f>
        <v xml:space="preserve">    "`": "・"</v>
      </c>
    </row>
    <row r="67" spans="1:8" hidden="1">
      <c r="A67" t="str">
        <f t="shared" ref="A67:A96" si="9">"0x"&amp;DEC2HEX($B67)</f>
        <v>0x61</v>
      </c>
      <c r="B67">
        <f t="shared" si="8"/>
        <v>97</v>
      </c>
      <c r="C67" t="str">
        <f t="shared" ref="C67:C96" si="10">""""&amp;_xlfn.UNICHAR($B67)&amp;""""</f>
        <v>"a"</v>
      </c>
      <c r="D67" t="s">
        <v>3</v>
      </c>
      <c r="E67">
        <v>1</v>
      </c>
      <c r="G67" t="str">
        <f t="shared" si="4"/>
        <v/>
      </c>
      <c r="H67" t="str">
        <f t="shared" ref="H67:H96" si="11">IF($F67="","","    "&amp;$C67&amp;": "&amp;$F67)</f>
        <v/>
      </c>
    </row>
    <row r="68" spans="1:8" hidden="1">
      <c r="A68" t="str">
        <f t="shared" si="9"/>
        <v>0x62</v>
      </c>
      <c r="B68">
        <f t="shared" si="8"/>
        <v>98</v>
      </c>
      <c r="C68" t="str">
        <f t="shared" si="10"/>
        <v>"b"</v>
      </c>
      <c r="D68" t="s">
        <v>3</v>
      </c>
      <c r="E68">
        <v>2</v>
      </c>
      <c r="G68" t="str">
        <f t="shared" ref="G68:G96" si="12">IF($F68="","",DEC2HEX(_xlfn.UNICODE($F68)))</f>
        <v/>
      </c>
      <c r="H68" t="str">
        <f t="shared" si="11"/>
        <v/>
      </c>
    </row>
    <row r="69" spans="1:8" hidden="1">
      <c r="A69" t="str">
        <f t="shared" si="9"/>
        <v>0x63</v>
      </c>
      <c r="B69">
        <f t="shared" si="8"/>
        <v>99</v>
      </c>
      <c r="C69" t="str">
        <f t="shared" si="10"/>
        <v>"c"</v>
      </c>
      <c r="D69" t="s">
        <v>3</v>
      </c>
      <c r="E69">
        <v>3</v>
      </c>
      <c r="G69" t="str">
        <f t="shared" si="12"/>
        <v/>
      </c>
      <c r="H69" t="str">
        <f t="shared" si="11"/>
        <v/>
      </c>
    </row>
    <row r="70" spans="1:8" hidden="1">
      <c r="A70" t="str">
        <f t="shared" si="9"/>
        <v>0x64</v>
      </c>
      <c r="B70">
        <f t="shared" si="8"/>
        <v>100</v>
      </c>
      <c r="C70" t="str">
        <f t="shared" si="10"/>
        <v>"d"</v>
      </c>
      <c r="D70" t="s">
        <v>3</v>
      </c>
      <c r="E70">
        <v>4</v>
      </c>
      <c r="G70" t="str">
        <f t="shared" si="12"/>
        <v/>
      </c>
      <c r="H70" t="str">
        <f t="shared" si="11"/>
        <v/>
      </c>
    </row>
    <row r="71" spans="1:8" hidden="1">
      <c r="A71" t="str">
        <f t="shared" si="9"/>
        <v>0x65</v>
      </c>
      <c r="B71">
        <f t="shared" si="8"/>
        <v>101</v>
      </c>
      <c r="C71" t="str">
        <f t="shared" si="10"/>
        <v>"e"</v>
      </c>
      <c r="D71" t="s">
        <v>3</v>
      </c>
      <c r="E71">
        <v>5</v>
      </c>
      <c r="G71" t="str">
        <f t="shared" si="12"/>
        <v/>
      </c>
      <c r="H71" t="str">
        <f t="shared" si="11"/>
        <v/>
      </c>
    </row>
    <row r="72" spans="1:8" hidden="1">
      <c r="A72" t="str">
        <f t="shared" si="9"/>
        <v>0x66</v>
      </c>
      <c r="B72">
        <f t="shared" si="8"/>
        <v>102</v>
      </c>
      <c r="C72" t="str">
        <f t="shared" si="10"/>
        <v>"f"</v>
      </c>
      <c r="D72" t="s">
        <v>3</v>
      </c>
      <c r="E72">
        <v>6</v>
      </c>
      <c r="G72" t="str">
        <f t="shared" si="12"/>
        <v/>
      </c>
      <c r="H72" t="str">
        <f t="shared" si="11"/>
        <v/>
      </c>
    </row>
    <row r="73" spans="1:8" hidden="1">
      <c r="A73" t="str">
        <f t="shared" si="9"/>
        <v>0x67</v>
      </c>
      <c r="B73">
        <f t="shared" si="8"/>
        <v>103</v>
      </c>
      <c r="C73" t="str">
        <f t="shared" si="10"/>
        <v>"g"</v>
      </c>
      <c r="D73" t="s">
        <v>3</v>
      </c>
      <c r="E73">
        <v>7</v>
      </c>
      <c r="G73" t="str">
        <f t="shared" si="12"/>
        <v/>
      </c>
      <c r="H73" t="str">
        <f t="shared" si="11"/>
        <v/>
      </c>
    </row>
    <row r="74" spans="1:8" hidden="1">
      <c r="A74" t="str">
        <f t="shared" si="9"/>
        <v>0x68</v>
      </c>
      <c r="B74">
        <f t="shared" si="8"/>
        <v>104</v>
      </c>
      <c r="C74" t="str">
        <f t="shared" si="10"/>
        <v>"h"</v>
      </c>
      <c r="D74" t="s">
        <v>3</v>
      </c>
      <c r="E74">
        <v>8</v>
      </c>
      <c r="G74" t="str">
        <f t="shared" si="12"/>
        <v/>
      </c>
      <c r="H74" t="str">
        <f t="shared" si="11"/>
        <v/>
      </c>
    </row>
    <row r="75" spans="1:8" hidden="1">
      <c r="A75" t="str">
        <f t="shared" si="9"/>
        <v>0x69</v>
      </c>
      <c r="B75">
        <f t="shared" si="8"/>
        <v>105</v>
      </c>
      <c r="C75" t="str">
        <f t="shared" si="10"/>
        <v>"i"</v>
      </c>
      <c r="D75" t="s">
        <v>3</v>
      </c>
      <c r="E75">
        <v>9</v>
      </c>
      <c r="G75" t="str">
        <f t="shared" si="12"/>
        <v/>
      </c>
      <c r="H75" t="str">
        <f t="shared" si="11"/>
        <v/>
      </c>
    </row>
    <row r="76" spans="1:8" hidden="1">
      <c r="A76" t="str">
        <f t="shared" si="9"/>
        <v>0x6A</v>
      </c>
      <c r="B76">
        <f t="shared" si="8"/>
        <v>106</v>
      </c>
      <c r="C76" t="str">
        <f t="shared" si="10"/>
        <v>"j"</v>
      </c>
      <c r="D76" t="s">
        <v>3</v>
      </c>
      <c r="E76">
        <v>10</v>
      </c>
      <c r="G76" t="str">
        <f t="shared" si="12"/>
        <v/>
      </c>
      <c r="H76" t="str">
        <f t="shared" si="11"/>
        <v/>
      </c>
    </row>
    <row r="77" spans="1:8" hidden="1">
      <c r="A77" t="str">
        <f t="shared" si="9"/>
        <v>0x6B</v>
      </c>
      <c r="B77">
        <f t="shared" si="8"/>
        <v>107</v>
      </c>
      <c r="C77" t="str">
        <f t="shared" si="10"/>
        <v>"k"</v>
      </c>
      <c r="D77" t="s">
        <v>3</v>
      </c>
      <c r="E77">
        <v>11</v>
      </c>
      <c r="G77" t="str">
        <f t="shared" si="12"/>
        <v/>
      </c>
      <c r="H77" t="str">
        <f t="shared" si="11"/>
        <v/>
      </c>
    </row>
    <row r="78" spans="1:8" hidden="1">
      <c r="A78" t="str">
        <f t="shared" si="9"/>
        <v>0x6C</v>
      </c>
      <c r="B78">
        <f t="shared" si="8"/>
        <v>108</v>
      </c>
      <c r="C78" t="str">
        <f t="shared" si="10"/>
        <v>"l"</v>
      </c>
      <c r="D78" t="s">
        <v>3</v>
      </c>
      <c r="E78">
        <v>12</v>
      </c>
      <c r="G78" t="str">
        <f t="shared" si="12"/>
        <v/>
      </c>
      <c r="H78" t="str">
        <f t="shared" si="11"/>
        <v/>
      </c>
    </row>
    <row r="79" spans="1:8" hidden="1">
      <c r="A79" t="str">
        <f t="shared" si="9"/>
        <v>0x6D</v>
      </c>
      <c r="B79">
        <f t="shared" si="8"/>
        <v>109</v>
      </c>
      <c r="C79" t="str">
        <f t="shared" si="10"/>
        <v>"m"</v>
      </c>
      <c r="D79" t="s">
        <v>3</v>
      </c>
      <c r="E79">
        <v>13</v>
      </c>
      <c r="G79" t="str">
        <f t="shared" si="12"/>
        <v/>
      </c>
      <c r="H79" t="str">
        <f t="shared" si="11"/>
        <v/>
      </c>
    </row>
    <row r="80" spans="1:8" hidden="1">
      <c r="A80" t="str">
        <f t="shared" si="9"/>
        <v>0x6E</v>
      </c>
      <c r="B80">
        <f t="shared" si="8"/>
        <v>110</v>
      </c>
      <c r="C80" t="str">
        <f t="shared" si="10"/>
        <v>"n"</v>
      </c>
      <c r="D80" t="s">
        <v>3</v>
      </c>
      <c r="E80">
        <v>14</v>
      </c>
      <c r="G80" t="str">
        <f t="shared" si="12"/>
        <v/>
      </c>
      <c r="H80" t="str">
        <f t="shared" si="11"/>
        <v/>
      </c>
    </row>
    <row r="81" spans="1:8" hidden="1">
      <c r="A81" t="str">
        <f t="shared" si="9"/>
        <v>0x6F</v>
      </c>
      <c r="B81">
        <f t="shared" si="8"/>
        <v>111</v>
      </c>
      <c r="C81" t="str">
        <f t="shared" si="10"/>
        <v>"o"</v>
      </c>
      <c r="D81" t="s">
        <v>3</v>
      </c>
      <c r="E81">
        <v>15</v>
      </c>
      <c r="G81" t="str">
        <f t="shared" si="12"/>
        <v/>
      </c>
      <c r="H81" t="str">
        <f t="shared" si="11"/>
        <v/>
      </c>
    </row>
    <row r="82" spans="1:8" hidden="1">
      <c r="A82" t="str">
        <f t="shared" si="9"/>
        <v>0x70</v>
      </c>
      <c r="B82">
        <f t="shared" si="8"/>
        <v>112</v>
      </c>
      <c r="C82" t="str">
        <f t="shared" si="10"/>
        <v>"p"</v>
      </c>
      <c r="D82" t="s">
        <v>3</v>
      </c>
      <c r="E82">
        <v>16</v>
      </c>
      <c r="G82" t="str">
        <f t="shared" si="12"/>
        <v/>
      </c>
      <c r="H82" t="str">
        <f t="shared" si="11"/>
        <v/>
      </c>
    </row>
    <row r="83" spans="1:8" hidden="1">
      <c r="A83" t="str">
        <f t="shared" si="9"/>
        <v>0x71</v>
      </c>
      <c r="B83">
        <f t="shared" si="8"/>
        <v>113</v>
      </c>
      <c r="C83" t="str">
        <f t="shared" si="10"/>
        <v>"q"</v>
      </c>
      <c r="D83" t="s">
        <v>3</v>
      </c>
      <c r="E83">
        <v>17</v>
      </c>
      <c r="G83" t="str">
        <f t="shared" si="12"/>
        <v/>
      </c>
      <c r="H83" t="str">
        <f t="shared" si="11"/>
        <v/>
      </c>
    </row>
    <row r="84" spans="1:8" hidden="1">
      <c r="A84" t="str">
        <f t="shared" si="9"/>
        <v>0x72</v>
      </c>
      <c r="B84">
        <f t="shared" si="8"/>
        <v>114</v>
      </c>
      <c r="C84" t="str">
        <f t="shared" si="10"/>
        <v>"r"</v>
      </c>
      <c r="D84" t="s">
        <v>3</v>
      </c>
      <c r="E84">
        <v>18</v>
      </c>
      <c r="G84" t="str">
        <f t="shared" si="12"/>
        <v/>
      </c>
      <c r="H84" t="str">
        <f t="shared" si="11"/>
        <v/>
      </c>
    </row>
    <row r="85" spans="1:8" hidden="1">
      <c r="A85" t="str">
        <f t="shared" si="9"/>
        <v>0x73</v>
      </c>
      <c r="B85">
        <f t="shared" si="8"/>
        <v>115</v>
      </c>
      <c r="C85" t="str">
        <f t="shared" si="10"/>
        <v>"s"</v>
      </c>
      <c r="D85" t="s">
        <v>3</v>
      </c>
      <c r="E85">
        <v>19</v>
      </c>
      <c r="G85" t="str">
        <f t="shared" si="12"/>
        <v/>
      </c>
      <c r="H85" t="str">
        <f t="shared" si="11"/>
        <v/>
      </c>
    </row>
    <row r="86" spans="1:8" hidden="1">
      <c r="A86" t="str">
        <f t="shared" si="9"/>
        <v>0x74</v>
      </c>
      <c r="B86">
        <f t="shared" si="8"/>
        <v>116</v>
      </c>
      <c r="C86" t="str">
        <f t="shared" si="10"/>
        <v>"t"</v>
      </c>
      <c r="D86" t="s">
        <v>3</v>
      </c>
      <c r="E86">
        <v>20</v>
      </c>
      <c r="G86" t="str">
        <f t="shared" si="12"/>
        <v/>
      </c>
      <c r="H86" t="str">
        <f t="shared" si="11"/>
        <v/>
      </c>
    </row>
    <row r="87" spans="1:8" hidden="1">
      <c r="A87" t="str">
        <f t="shared" si="9"/>
        <v>0x75</v>
      </c>
      <c r="B87">
        <f t="shared" si="8"/>
        <v>117</v>
      </c>
      <c r="C87" t="str">
        <f t="shared" si="10"/>
        <v>"u"</v>
      </c>
      <c r="D87" t="s">
        <v>3</v>
      </c>
      <c r="E87">
        <v>21</v>
      </c>
      <c r="G87" t="str">
        <f t="shared" si="12"/>
        <v/>
      </c>
      <c r="H87" t="str">
        <f t="shared" si="11"/>
        <v/>
      </c>
    </row>
    <row r="88" spans="1:8" hidden="1">
      <c r="A88" t="str">
        <f t="shared" si="9"/>
        <v>0x76</v>
      </c>
      <c r="B88">
        <f t="shared" si="8"/>
        <v>118</v>
      </c>
      <c r="C88" t="str">
        <f t="shared" si="10"/>
        <v>"v"</v>
      </c>
      <c r="D88" t="s">
        <v>3</v>
      </c>
      <c r="E88">
        <v>22</v>
      </c>
      <c r="G88" t="str">
        <f t="shared" si="12"/>
        <v/>
      </c>
      <c r="H88" t="str">
        <f t="shared" si="11"/>
        <v/>
      </c>
    </row>
    <row r="89" spans="1:8" hidden="1">
      <c r="A89" t="str">
        <f t="shared" si="9"/>
        <v>0x77</v>
      </c>
      <c r="B89">
        <f t="shared" si="8"/>
        <v>119</v>
      </c>
      <c r="C89" t="str">
        <f t="shared" si="10"/>
        <v>"w"</v>
      </c>
      <c r="D89" t="s">
        <v>3</v>
      </c>
      <c r="E89">
        <v>23</v>
      </c>
      <c r="G89" t="str">
        <f t="shared" si="12"/>
        <v/>
      </c>
      <c r="H89" t="str">
        <f t="shared" si="11"/>
        <v/>
      </c>
    </row>
    <row r="90" spans="1:8" hidden="1">
      <c r="A90" t="str">
        <f t="shared" si="9"/>
        <v>0x78</v>
      </c>
      <c r="B90">
        <f t="shared" si="8"/>
        <v>120</v>
      </c>
      <c r="C90" t="str">
        <f t="shared" si="10"/>
        <v>"x"</v>
      </c>
      <c r="D90" t="s">
        <v>3</v>
      </c>
      <c r="E90">
        <v>24</v>
      </c>
      <c r="G90" t="str">
        <f t="shared" si="12"/>
        <v/>
      </c>
      <c r="H90" t="str">
        <f t="shared" si="11"/>
        <v/>
      </c>
    </row>
    <row r="91" spans="1:8" hidden="1">
      <c r="A91" t="str">
        <f t="shared" si="9"/>
        <v>0x79</v>
      </c>
      <c r="B91">
        <f t="shared" si="8"/>
        <v>121</v>
      </c>
      <c r="C91" t="str">
        <f t="shared" si="10"/>
        <v>"y"</v>
      </c>
      <c r="D91" t="s">
        <v>3</v>
      </c>
      <c r="E91">
        <v>25</v>
      </c>
      <c r="G91" t="str">
        <f t="shared" si="12"/>
        <v/>
      </c>
      <c r="H91" t="str">
        <f t="shared" si="11"/>
        <v/>
      </c>
    </row>
    <row r="92" spans="1:8" hidden="1">
      <c r="A92" t="str">
        <f t="shared" si="9"/>
        <v>0x7A</v>
      </c>
      <c r="B92">
        <f t="shared" si="8"/>
        <v>122</v>
      </c>
      <c r="C92" t="str">
        <f t="shared" si="10"/>
        <v>"z"</v>
      </c>
      <c r="D92" t="s">
        <v>3</v>
      </c>
      <c r="E92">
        <v>26</v>
      </c>
      <c r="G92" t="str">
        <f t="shared" si="12"/>
        <v/>
      </c>
      <c r="H92" t="str">
        <f t="shared" si="11"/>
        <v/>
      </c>
    </row>
    <row r="93" spans="1:8" ht="17.399999999999999">
      <c r="A93" t="str">
        <f t="shared" si="9"/>
        <v>0x7B</v>
      </c>
      <c r="B93">
        <f t="shared" si="8"/>
        <v>123</v>
      </c>
      <c r="C93" t="str">
        <f t="shared" si="10"/>
        <v>"{"</v>
      </c>
      <c r="F93" s="1" t="s">
        <v>13</v>
      </c>
      <c r="G93" t="str">
        <f t="shared" si="12"/>
        <v>3016</v>
      </c>
      <c r="H93" t="str">
        <f>IF($F93="","","    "&amp;$C93&amp;": "&amp;""""&amp;$F93&amp;"""")</f>
        <v xml:space="preserve">    "{": "〖"</v>
      </c>
    </row>
    <row r="94" spans="1:8" hidden="1">
      <c r="A94" t="str">
        <f t="shared" si="9"/>
        <v>0x7C</v>
      </c>
      <c r="B94">
        <f t="shared" si="8"/>
        <v>124</v>
      </c>
      <c r="C94" t="str">
        <f t="shared" si="10"/>
        <v>"|"</v>
      </c>
      <c r="G94" t="str">
        <f t="shared" si="12"/>
        <v/>
      </c>
      <c r="H94" t="str">
        <f t="shared" si="11"/>
        <v/>
      </c>
    </row>
    <row r="95" spans="1:8" ht="17.399999999999999">
      <c r="A95" t="str">
        <f t="shared" si="9"/>
        <v>0x7D</v>
      </c>
      <c r="B95">
        <f t="shared" ref="B95:B96" si="13">$B94+1</f>
        <v>125</v>
      </c>
      <c r="C95" t="str">
        <f t="shared" si="10"/>
        <v>"}"</v>
      </c>
      <c r="F95" s="1" t="s">
        <v>14</v>
      </c>
      <c r="G95" t="str">
        <f t="shared" si="12"/>
        <v>3017</v>
      </c>
      <c r="H95" t="str">
        <f>IF($F95="","","    "&amp;$C95&amp;": "&amp;""""&amp;$F95&amp;"""")</f>
        <v xml:space="preserve">    "}": "〗"</v>
      </c>
    </row>
    <row r="96" spans="1:8" hidden="1">
      <c r="A96" t="str">
        <f t="shared" si="9"/>
        <v>0x7E</v>
      </c>
      <c r="B96">
        <f t="shared" si="13"/>
        <v>126</v>
      </c>
      <c r="C96" t="str">
        <f t="shared" si="10"/>
        <v>"~"</v>
      </c>
      <c r="D96" t="s">
        <v>1</v>
      </c>
      <c r="E96">
        <v>0</v>
      </c>
      <c r="G96" t="str">
        <f t="shared" si="12"/>
        <v/>
      </c>
      <c r="H96" t="str">
        <f t="shared" si="11"/>
        <v/>
      </c>
    </row>
  </sheetData>
  <autoFilter ref="A1:H96" xr:uid="{2A1A6EFD-55DF-4A6F-9EFE-C50F9DB5F71E}">
    <filterColumn colId="7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2026-01-18T18:41:41Z</dcterms:created>
  <dcterms:modified xsi:type="dcterms:W3CDTF">2026-01-18T20:45:20Z</dcterms:modified>
</cp:coreProperties>
</file>